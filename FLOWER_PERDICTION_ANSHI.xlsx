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3e02e38f5f1cd/Desktop/Anshika/DATA ANALYST TASKSSSS/"/>
    </mc:Choice>
  </mc:AlternateContent>
  <xr:revisionPtr revIDLastSave="65" documentId="8_{3FD6565C-3D5A-4C8D-A774-EACDB74280DA}" xr6:coauthVersionLast="47" xr6:coauthVersionMax="47" xr10:uidLastSave="{4CB60655-4E0C-40B6-B6EE-D9E450731380}"/>
  <bookViews>
    <workbookView xWindow="-108" yWindow="-108" windowWidth="23256" windowHeight="12456" activeTab="1" xr2:uid="{2BFE9BDE-DFC0-4517-9171-3AA39D8DA198}"/>
  </bookViews>
  <sheets>
    <sheet name="FLOWER_DATA" sheetId="1" r:id="rId1"/>
    <sheet name="Sheet1" sheetId="3" r:id="rId2"/>
    <sheet name="CONCLUSION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2" i="3"/>
  <c r="C5" i="3"/>
  <c r="C4" i="3"/>
  <c r="B5" i="3"/>
  <c r="B4" i="3"/>
  <c r="B3" i="3"/>
  <c r="B2" i="3"/>
  <c r="E3" i="3"/>
  <c r="E4" i="3"/>
  <c r="E5" i="3"/>
  <c r="D3" i="3"/>
  <c r="D4" i="3"/>
  <c r="D5" i="3"/>
  <c r="E2" i="3"/>
  <c r="D2" i="3"/>
  <c r="I3" i="1"/>
  <c r="I11" i="1"/>
  <c r="I10" i="1"/>
  <c r="I9" i="1"/>
  <c r="I8" i="1"/>
  <c r="J5" i="1"/>
  <c r="K5" i="1"/>
  <c r="L5" i="1"/>
  <c r="I5" i="1"/>
  <c r="J4" i="1"/>
  <c r="K4" i="1"/>
  <c r="L4" i="1"/>
  <c r="I4" i="1"/>
  <c r="L3" i="1"/>
  <c r="K3" i="1"/>
  <c r="J3" i="1"/>
  <c r="J2" i="1"/>
  <c r="I2" i="1"/>
  <c r="L2" i="1"/>
  <c r="K2" i="1"/>
</calcChain>
</file>

<file path=xl/sharedStrings.xml><?xml version="1.0" encoding="utf-8"?>
<sst xmlns="http://schemas.openxmlformats.org/spreadsheetml/2006/main" count="197" uniqueCount="31">
  <si>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</si>
  <si>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</si>
  <si>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</si>
  <si>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</si>
  <si>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</si>
  <si>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</si>
  <si>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</si>
  <si>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</si>
  <si>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</si>
  <si>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</si>
  <si>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</si>
  <si>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</si>
  <si>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BASIS</t>
  </si>
  <si>
    <t>MIN</t>
  </si>
  <si>
    <t>MAX</t>
  </si>
  <si>
    <t>AVG</t>
  </si>
  <si>
    <t>STD.DEV</t>
  </si>
  <si>
    <t>COUNTING SPECIES</t>
  </si>
  <si>
    <t>TOTAL</t>
  </si>
  <si>
    <t>Feature Selection Guide</t>
  </si>
  <si>
    <t>Feature</t>
  </si>
  <si>
    <t>Use as Input?</t>
  </si>
  <si>
    <t>Why?</t>
  </si>
  <si>
    <t>Importance (1=low, 5=high)</t>
  </si>
  <si>
    <t>YES</t>
  </si>
  <si>
    <t>Contributes to distinguishing species</t>
  </si>
  <si>
    <t>Weak separator alone, useful combined</t>
  </si>
  <si>
    <t>Strongest single predictor — high variance across species</t>
  </si>
  <si>
    <t>Second strongest predictor</t>
  </si>
  <si>
    <t>HIGHER THE STANDARD DEVIATION CAN MAKE IT EASY TO CALCULATE THE DIFFERNECE AMOND THE FLOWER'S PETAL AND SEPALS</t>
  </si>
  <si>
    <t>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</si>
</sst>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E1F5EE"/>
        <bgColor rgb="FFEEEDFE"/>
      </patternFill>
    </fill>
    <fill>
      <patternFill patternType="solid">
        <fgColor rgb="FFEEEDFE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theme="9" tint="-0.249977111117893"/>
        <bgColor rgb="FF008080"/>
      </patternFill>
    </fill>
    <fill>
      <patternFill patternType="solid">
        <fgColor theme="9" tint="0.59999389629810485"/>
        <bgColor rgb="FF008080"/>
      </patternFill>
    </fill>
    <fill>
      <patternFill patternType="solid">
        <fgColor rgb="FF534AB7"/>
        <bgColor rgb="FF333399"/>
      </patternFill>
    </fill>
    <fill>
      <patternFill patternType="solid">
        <fgColor rgb="FFCECBF6"/>
        <bgColor rgb="FFCCCCCC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3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4" fillId="8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9C33-DD6D-43FB-A050-7396D8BB00B5}">
  <dimension ref="A1:S151"/>
  <sheetViews>
    <sheetView topLeftCell="A125" workbookViewId="0">
      <selection activeCell="I4" sqref="I4"/>
    </sheetView>
  </sheetViews>
  <sheetFormatPr defaultRowHeight="14.4" x14ac:dyDescent="0.3"/>
  <cols>
    <col min="1" max="1" width="19.33203125" customWidth="1"/>
    <col min="2" max="2" width="14.88671875" customWidth="1"/>
    <col min="3" max="3" width="15.5546875" customWidth="1"/>
    <col min="4" max="4" width="17.109375" customWidth="1"/>
    <col min="5" max="5" width="13.88671875" customWidth="1"/>
    <col min="8" max="8" width="12" customWidth="1"/>
    <col min="9" max="9" width="11.44140625" customWidth="1"/>
    <col min="11" max="11" width="10.6640625" customWidth="1"/>
  </cols>
  <sheetData>
    <row r="1" spans="1:1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6" t="s">
        <v>12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9" x14ac:dyDescent="0.3">
      <c r="A2" s="2">
        <v>5.0999999999999996</v>
      </c>
      <c r="B2" s="2">
        <v>3.5</v>
      </c>
      <c r="C2" s="2">
        <v>1.4</v>
      </c>
      <c r="D2" s="2">
        <v>0.2</v>
      </c>
      <c r="E2" s="2" t="s">
        <v>5</v>
      </c>
      <c r="G2" s="5"/>
      <c r="H2" t="s">
        <v>13</v>
      </c>
      <c r="I2">
        <f>MIN(A2:A151)</f>
        <v>4.3</v>
      </c>
      <c r="J2">
        <f>MIN(B2:B151)</f>
        <v>2</v>
      </c>
      <c r="K2">
        <f>MIN(C2:C151)</f>
        <v>1</v>
      </c>
      <c r="L2">
        <f>MIN(D2:D151)</f>
        <v>0.1</v>
      </c>
      <c r="M2" s="5"/>
      <c r="N2" s="5"/>
      <c r="O2" s="5"/>
      <c r="P2" s="5"/>
      <c r="Q2" s="5"/>
      <c r="R2" s="5"/>
      <c r="S2" s="5"/>
    </row>
    <row r="3" spans="1:19" x14ac:dyDescent="0.3">
      <c r="A3" s="2">
        <v>4.9000000000000004</v>
      </c>
      <c r="B3" s="2">
        <v>3</v>
      </c>
      <c r="C3" s="2">
        <v>1.4</v>
      </c>
      <c r="D3" s="2">
        <v>0.2</v>
      </c>
      <c r="E3" s="2" t="s">
        <v>5</v>
      </c>
      <c r="G3" s="5"/>
      <c r="H3" s="5" t="s">
        <v>14</v>
      </c>
      <c r="I3" s="5">
        <f>MAX(FLOWER_DATA!A2:A151)</f>
        <v>7.9</v>
      </c>
      <c r="J3" s="5">
        <f>MAX(B2:B151)</f>
        <v>4.4000000000000004</v>
      </c>
      <c r="K3" s="5">
        <f>MAX(C2:C151)</f>
        <v>6.9</v>
      </c>
      <c r="L3" s="5">
        <f>MAX(D2:D151)</f>
        <v>2.5</v>
      </c>
      <c r="M3" s="5"/>
      <c r="N3" s="5"/>
      <c r="O3" s="5"/>
      <c r="P3" s="5"/>
      <c r="Q3" s="5"/>
      <c r="R3" s="5"/>
      <c r="S3" s="5"/>
    </row>
    <row r="4" spans="1:19" x14ac:dyDescent="0.3">
      <c r="A4" s="2">
        <v>4.7</v>
      </c>
      <c r="B4" s="2">
        <v>3.2</v>
      </c>
      <c r="C4" s="2">
        <v>1.3</v>
      </c>
      <c r="D4" s="2">
        <v>0.2</v>
      </c>
      <c r="E4" s="2" t="s">
        <v>5</v>
      </c>
      <c r="G4" s="5"/>
      <c r="H4" s="5" t="s">
        <v>15</v>
      </c>
      <c r="I4" s="7">
        <f>AVERAGE(A2:A151)</f>
        <v>5.8433333333333346</v>
      </c>
      <c r="J4" s="7">
        <f t="shared" ref="J4:L4" si="0">AVERAGE(B2:B151)</f>
        <v>3.0573333333333341</v>
      </c>
      <c r="K4" s="7">
        <f t="shared" si="0"/>
        <v>3.7580000000000027</v>
      </c>
      <c r="L4" s="7">
        <f t="shared" si="0"/>
        <v>1.199333333333334</v>
      </c>
      <c r="M4" s="5"/>
      <c r="N4" s="5"/>
      <c r="O4" s="5"/>
      <c r="P4" s="5"/>
      <c r="Q4" s="5"/>
      <c r="R4" s="5"/>
      <c r="S4" s="5"/>
    </row>
    <row r="5" spans="1:19" x14ac:dyDescent="0.3">
      <c r="A5" s="2">
        <v>4.5999999999999996</v>
      </c>
      <c r="B5" s="2">
        <v>3.1</v>
      </c>
      <c r="C5" s="2">
        <v>1.5</v>
      </c>
      <c r="D5" s="2">
        <v>0.2</v>
      </c>
      <c r="E5" s="2" t="s">
        <v>5</v>
      </c>
      <c r="G5" s="5"/>
      <c r="H5" s="5" t="s">
        <v>16</v>
      </c>
      <c r="I5" s="7">
        <f>STDEV(A2:A151)</f>
        <v>0.82806612797784351</v>
      </c>
      <c r="J5" s="7">
        <f t="shared" ref="J5:L5" si="1">STDEV(B2:B151)</f>
        <v>0.43586628493668389</v>
      </c>
      <c r="K5" s="7">
        <f t="shared" si="1"/>
        <v>1.7652982332594624</v>
      </c>
      <c r="L5" s="7">
        <f t="shared" si="1"/>
        <v>0.76223766896034584</v>
      </c>
      <c r="M5" s="5"/>
      <c r="N5" s="5"/>
      <c r="O5" s="5"/>
      <c r="P5" s="5"/>
      <c r="Q5" s="5"/>
      <c r="R5" s="5"/>
      <c r="S5" s="5"/>
    </row>
    <row r="6" spans="1:19" x14ac:dyDescent="0.3">
      <c r="A6" s="2">
        <v>5</v>
      </c>
      <c r="B6" s="2">
        <v>3.6</v>
      </c>
      <c r="C6" s="2">
        <v>1.4</v>
      </c>
      <c r="D6" s="2">
        <v>0.2</v>
      </c>
      <c r="E6" s="2" t="s">
        <v>5</v>
      </c>
      <c r="G6" s="5"/>
      <c r="H6" s="5"/>
      <c r="I6" s="7"/>
      <c r="J6" s="7"/>
      <c r="K6" s="7"/>
      <c r="L6" s="7"/>
      <c r="M6" s="5"/>
      <c r="N6" s="5"/>
      <c r="O6" s="5"/>
      <c r="P6" s="5"/>
      <c r="Q6" s="5"/>
      <c r="R6" s="5"/>
      <c r="S6" s="5"/>
    </row>
    <row r="7" spans="1:19" ht="31.2" customHeight="1" x14ac:dyDescent="0.3">
      <c r="A7" s="2">
        <v>5.4</v>
      </c>
      <c r="B7" s="2">
        <v>3.9</v>
      </c>
      <c r="C7" s="2">
        <v>1.7</v>
      </c>
      <c r="D7" s="2">
        <v>0.4</v>
      </c>
      <c r="E7" s="2" t="s">
        <v>5</v>
      </c>
      <c r="G7" s="5"/>
      <c r="H7" s="6" t="s">
        <v>17</v>
      </c>
      <c r="I7" s="6" t="s">
        <v>18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3">
      <c r="A8" s="2">
        <v>4.5999999999999996</v>
      </c>
      <c r="B8" s="2">
        <v>3.4</v>
      </c>
      <c r="C8" s="2">
        <v>1.4</v>
      </c>
      <c r="D8" s="2">
        <v>0.3</v>
      </c>
      <c r="E8" s="2" t="s">
        <v>5</v>
      </c>
      <c r="G8" s="5"/>
      <c r="H8" s="2" t="s">
        <v>5</v>
      </c>
      <c r="I8" s="5">
        <f>COUNTIF(E2:E151,"Iris-setosa")</f>
        <v>50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">
      <c r="A9" s="2">
        <v>5</v>
      </c>
      <c r="B9" s="2">
        <v>3.4</v>
      </c>
      <c r="C9" s="2">
        <v>1.5</v>
      </c>
      <c r="D9" s="2">
        <v>0.2</v>
      </c>
      <c r="E9" s="2" t="s">
        <v>5</v>
      </c>
      <c r="G9" s="5"/>
      <c r="H9" s="3" t="s">
        <v>6</v>
      </c>
      <c r="I9" s="5">
        <f>COUNTIF(E2:E151,"iris-versicolor")</f>
        <v>50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3">
      <c r="A10" s="2">
        <v>4.4000000000000004</v>
      </c>
      <c r="B10" s="2">
        <v>2.9</v>
      </c>
      <c r="C10" s="2">
        <v>1.4</v>
      </c>
      <c r="D10" s="2">
        <v>0.2</v>
      </c>
      <c r="E10" s="2" t="s">
        <v>5</v>
      </c>
      <c r="G10" s="5"/>
      <c r="H10" s="4" t="s">
        <v>7</v>
      </c>
      <c r="I10" s="5">
        <f>COUNTIF(E2:E151,"Iris-virginica")</f>
        <v>50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">
      <c r="A11" s="2">
        <v>4.9000000000000004</v>
      </c>
      <c r="B11" s="2">
        <v>3.1</v>
      </c>
      <c r="C11" s="2">
        <v>1.5</v>
      </c>
      <c r="D11" s="2">
        <v>0.1</v>
      </c>
      <c r="E11" s="2" t="s">
        <v>5</v>
      </c>
      <c r="G11" s="5"/>
      <c r="H11" s="6" t="s">
        <v>18</v>
      </c>
      <c r="I11" s="8">
        <f>I8+I9+I10</f>
        <v>150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2">
        <v>5.4</v>
      </c>
      <c r="B12" s="2">
        <v>3.7</v>
      </c>
      <c r="C12" s="2">
        <v>1.5</v>
      </c>
      <c r="D12" s="2">
        <v>0.2</v>
      </c>
      <c r="E12" s="2" t="s">
        <v>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">
      <c r="A13" s="2">
        <v>4.8</v>
      </c>
      <c r="B13" s="2">
        <v>3.4</v>
      </c>
      <c r="C13" s="2">
        <v>1.6</v>
      </c>
      <c r="D13" s="2">
        <v>0.2</v>
      </c>
      <c r="E13" s="2" t="s">
        <v>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">
      <c r="A14" s="2">
        <v>4.8</v>
      </c>
      <c r="B14" s="2">
        <v>3</v>
      </c>
      <c r="C14" s="2">
        <v>1.4</v>
      </c>
      <c r="D14" s="2">
        <v>0.1</v>
      </c>
      <c r="E14" s="2" t="s">
        <v>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A15" s="2">
        <v>4.3</v>
      </c>
      <c r="B15" s="2">
        <v>3</v>
      </c>
      <c r="C15" s="2">
        <v>1.1000000000000001</v>
      </c>
      <c r="D15" s="2">
        <v>0.1</v>
      </c>
      <c r="E15" s="2" t="s">
        <v>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">
      <c r="A16" s="2">
        <v>5.8</v>
      </c>
      <c r="B16" s="2">
        <v>4</v>
      </c>
      <c r="C16" s="2">
        <v>1.2</v>
      </c>
      <c r="D16" s="2">
        <v>0.2</v>
      </c>
      <c r="E16" s="2" t="s">
        <v>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A17" s="2">
        <v>5.7</v>
      </c>
      <c r="B17" s="2">
        <v>4.4000000000000004</v>
      </c>
      <c r="C17" s="2">
        <v>1.5</v>
      </c>
      <c r="D17" s="2">
        <v>0.4</v>
      </c>
      <c r="E17" s="2" t="s">
        <v>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2">
        <v>5.4</v>
      </c>
      <c r="B18" s="2">
        <v>3.9</v>
      </c>
      <c r="C18" s="2">
        <v>1.3</v>
      </c>
      <c r="D18" s="2">
        <v>0.4</v>
      </c>
      <c r="E18" s="2" t="s">
        <v>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2">
        <v>5.0999999999999996</v>
      </c>
      <c r="B19" s="2">
        <v>3.5</v>
      </c>
      <c r="C19" s="2">
        <v>1.4</v>
      </c>
      <c r="D19" s="2">
        <v>0.3</v>
      </c>
      <c r="E19" s="2" t="s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2">
        <v>5.7</v>
      </c>
      <c r="B20" s="2">
        <v>3.8</v>
      </c>
      <c r="C20" s="2">
        <v>1.7</v>
      </c>
      <c r="D20" s="2">
        <v>0.3</v>
      </c>
      <c r="E20" s="2" t="s">
        <v>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2">
        <v>5.0999999999999996</v>
      </c>
      <c r="B21" s="2">
        <v>3.8</v>
      </c>
      <c r="C21" s="2">
        <v>1.5</v>
      </c>
      <c r="D21" s="2">
        <v>0.3</v>
      </c>
      <c r="E21" s="2" t="s">
        <v>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">
      <c r="A22" s="2">
        <v>5.4</v>
      </c>
      <c r="B22" s="2">
        <v>3.4</v>
      </c>
      <c r="C22" s="2">
        <v>1.7</v>
      </c>
      <c r="D22" s="2">
        <v>0.2</v>
      </c>
      <c r="E22" s="2" t="s">
        <v>5</v>
      </c>
    </row>
    <row r="23" spans="1:19" x14ac:dyDescent="0.3">
      <c r="A23" s="2">
        <v>5.0999999999999996</v>
      </c>
      <c r="B23" s="2">
        <v>3.7</v>
      </c>
      <c r="C23" s="2">
        <v>1.5</v>
      </c>
      <c r="D23" s="2">
        <v>0.4</v>
      </c>
      <c r="E23" s="2" t="s">
        <v>5</v>
      </c>
    </row>
    <row r="24" spans="1:19" x14ac:dyDescent="0.3">
      <c r="A24" s="2">
        <v>4.5999999999999996</v>
      </c>
      <c r="B24" s="2">
        <v>3.6</v>
      </c>
      <c r="C24" s="2">
        <v>1</v>
      </c>
      <c r="D24" s="2">
        <v>0.2</v>
      </c>
      <c r="E24" s="2" t="s">
        <v>5</v>
      </c>
    </row>
    <row r="25" spans="1:19" x14ac:dyDescent="0.3">
      <c r="A25" s="2">
        <v>5.0999999999999996</v>
      </c>
      <c r="B25" s="2">
        <v>3.3</v>
      </c>
      <c r="C25" s="2">
        <v>1.7</v>
      </c>
      <c r="D25" s="2">
        <v>0.5</v>
      </c>
      <c r="E25" s="2" t="s">
        <v>5</v>
      </c>
    </row>
    <row r="26" spans="1:19" x14ac:dyDescent="0.3">
      <c r="A26" s="2">
        <v>4.8</v>
      </c>
      <c r="B26" s="2">
        <v>3.4</v>
      </c>
      <c r="C26" s="2">
        <v>1.9</v>
      </c>
      <c r="D26" s="2">
        <v>0.2</v>
      </c>
      <c r="E26" s="2" t="s">
        <v>5</v>
      </c>
    </row>
    <row r="27" spans="1:19" x14ac:dyDescent="0.3">
      <c r="A27" s="2">
        <v>5</v>
      </c>
      <c r="B27" s="2">
        <v>3</v>
      </c>
      <c r="C27" s="2">
        <v>1.6</v>
      </c>
      <c r="D27" s="2">
        <v>0.2</v>
      </c>
      <c r="E27" s="2" t="s">
        <v>5</v>
      </c>
    </row>
    <row r="28" spans="1:19" x14ac:dyDescent="0.3">
      <c r="A28" s="2">
        <v>5</v>
      </c>
      <c r="B28" s="2">
        <v>3.4</v>
      </c>
      <c r="C28" s="2">
        <v>1.6</v>
      </c>
      <c r="D28" s="2">
        <v>0.4</v>
      </c>
      <c r="E28" s="2" t="s">
        <v>5</v>
      </c>
    </row>
    <row r="29" spans="1:19" x14ac:dyDescent="0.3">
      <c r="A29" s="2">
        <v>5.2</v>
      </c>
      <c r="B29" s="2">
        <v>3.5</v>
      </c>
      <c r="C29" s="2">
        <v>1.5</v>
      </c>
      <c r="D29" s="2">
        <v>0.2</v>
      </c>
      <c r="E29" s="2" t="s">
        <v>5</v>
      </c>
    </row>
    <row r="30" spans="1:19" x14ac:dyDescent="0.3">
      <c r="A30" s="2">
        <v>5.2</v>
      </c>
      <c r="B30" s="2">
        <v>3.4</v>
      </c>
      <c r="C30" s="2">
        <v>1.4</v>
      </c>
      <c r="D30" s="2">
        <v>0.2</v>
      </c>
      <c r="E30" s="2" t="s">
        <v>5</v>
      </c>
    </row>
    <row r="31" spans="1:19" x14ac:dyDescent="0.3">
      <c r="A31" s="2">
        <v>4.7</v>
      </c>
      <c r="B31" s="2">
        <v>3.2</v>
      </c>
      <c r="C31" s="2">
        <v>1.6</v>
      </c>
      <c r="D31" s="2">
        <v>0.2</v>
      </c>
      <c r="E31" s="2" t="s">
        <v>5</v>
      </c>
    </row>
    <row r="32" spans="1:19" x14ac:dyDescent="0.3">
      <c r="A32" s="2">
        <v>4.8</v>
      </c>
      <c r="B32" s="2">
        <v>3.1</v>
      </c>
      <c r="C32" s="2">
        <v>1.6</v>
      </c>
      <c r="D32" s="2">
        <v>0.2</v>
      </c>
      <c r="E32" s="2" t="s">
        <v>5</v>
      </c>
    </row>
    <row r="33" spans="1:5" x14ac:dyDescent="0.3">
      <c r="A33" s="2">
        <v>5.4</v>
      </c>
      <c r="B33" s="2">
        <v>3.4</v>
      </c>
      <c r="C33" s="2">
        <v>1.5</v>
      </c>
      <c r="D33" s="2">
        <v>0.4</v>
      </c>
      <c r="E33" s="2" t="s">
        <v>5</v>
      </c>
    </row>
    <row r="34" spans="1:5" x14ac:dyDescent="0.3">
      <c r="A34" s="2">
        <v>5.2</v>
      </c>
      <c r="B34" s="2">
        <v>4.0999999999999996</v>
      </c>
      <c r="C34" s="2">
        <v>1.5</v>
      </c>
      <c r="D34" s="2">
        <v>0.1</v>
      </c>
      <c r="E34" s="2" t="s">
        <v>5</v>
      </c>
    </row>
    <row r="35" spans="1:5" x14ac:dyDescent="0.3">
      <c r="A35" s="2">
        <v>5.5</v>
      </c>
      <c r="B35" s="2">
        <v>4.2</v>
      </c>
      <c r="C35" s="2">
        <v>1.4</v>
      </c>
      <c r="D35" s="2">
        <v>0.2</v>
      </c>
      <c r="E35" s="2" t="s">
        <v>5</v>
      </c>
    </row>
    <row r="36" spans="1:5" x14ac:dyDescent="0.3">
      <c r="A36" s="2">
        <v>4.9000000000000004</v>
      </c>
      <c r="B36" s="2">
        <v>3.1</v>
      </c>
      <c r="C36" s="2">
        <v>1.5</v>
      </c>
      <c r="D36" s="2">
        <v>0.2</v>
      </c>
      <c r="E36" s="2" t="s">
        <v>5</v>
      </c>
    </row>
    <row r="37" spans="1:5" x14ac:dyDescent="0.3">
      <c r="A37" s="2">
        <v>5</v>
      </c>
      <c r="B37" s="2">
        <v>3.2</v>
      </c>
      <c r="C37" s="2">
        <v>1.2</v>
      </c>
      <c r="D37" s="2">
        <v>0.2</v>
      </c>
      <c r="E37" s="2" t="s">
        <v>5</v>
      </c>
    </row>
    <row r="38" spans="1:5" x14ac:dyDescent="0.3">
      <c r="A38" s="2">
        <v>5.5</v>
      </c>
      <c r="B38" s="2">
        <v>3.5</v>
      </c>
      <c r="C38" s="2">
        <v>1.3</v>
      </c>
      <c r="D38" s="2">
        <v>0.2</v>
      </c>
      <c r="E38" s="2" t="s">
        <v>5</v>
      </c>
    </row>
    <row r="39" spans="1:5" x14ac:dyDescent="0.3">
      <c r="A39" s="2">
        <v>4.9000000000000004</v>
      </c>
      <c r="B39" s="2">
        <v>3.6</v>
      </c>
      <c r="C39" s="2">
        <v>1.4</v>
      </c>
      <c r="D39" s="2">
        <v>0.1</v>
      </c>
      <c r="E39" s="2" t="s">
        <v>5</v>
      </c>
    </row>
    <row r="40" spans="1:5" x14ac:dyDescent="0.3">
      <c r="A40" s="2">
        <v>4.4000000000000004</v>
      </c>
      <c r="B40" s="2">
        <v>3</v>
      </c>
      <c r="C40" s="2">
        <v>1.3</v>
      </c>
      <c r="D40" s="2">
        <v>0.2</v>
      </c>
      <c r="E40" s="2" t="s">
        <v>5</v>
      </c>
    </row>
    <row r="41" spans="1:5" x14ac:dyDescent="0.3">
      <c r="A41" s="2">
        <v>5.0999999999999996</v>
      </c>
      <c r="B41" s="2">
        <v>3.4</v>
      </c>
      <c r="C41" s="2">
        <v>1.5</v>
      </c>
      <c r="D41" s="2">
        <v>0.2</v>
      </c>
      <c r="E41" s="2" t="s">
        <v>5</v>
      </c>
    </row>
    <row r="42" spans="1:5" x14ac:dyDescent="0.3">
      <c r="A42" s="2">
        <v>5</v>
      </c>
      <c r="B42" s="2">
        <v>3.5</v>
      </c>
      <c r="C42" s="2">
        <v>1.3</v>
      </c>
      <c r="D42" s="2">
        <v>0.3</v>
      </c>
      <c r="E42" s="2" t="s">
        <v>5</v>
      </c>
    </row>
    <row r="43" spans="1:5" x14ac:dyDescent="0.3">
      <c r="A43" s="2">
        <v>4.5</v>
      </c>
      <c r="B43" s="2">
        <v>2.2999999999999998</v>
      </c>
      <c r="C43" s="2">
        <v>1.3</v>
      </c>
      <c r="D43" s="2">
        <v>0.3</v>
      </c>
      <c r="E43" s="2" t="s">
        <v>5</v>
      </c>
    </row>
    <row r="44" spans="1:5" x14ac:dyDescent="0.3">
      <c r="A44" s="2">
        <v>4.4000000000000004</v>
      </c>
      <c r="B44" s="2">
        <v>3.2</v>
      </c>
      <c r="C44" s="2">
        <v>1.3</v>
      </c>
      <c r="D44" s="2">
        <v>0.2</v>
      </c>
      <c r="E44" s="2" t="s">
        <v>5</v>
      </c>
    </row>
    <row r="45" spans="1:5" x14ac:dyDescent="0.3">
      <c r="A45" s="2">
        <v>5</v>
      </c>
      <c r="B45" s="2">
        <v>3.5</v>
      </c>
      <c r="C45" s="2">
        <v>1.6</v>
      </c>
      <c r="D45" s="2">
        <v>0.6</v>
      </c>
      <c r="E45" s="2" t="s">
        <v>5</v>
      </c>
    </row>
    <row r="46" spans="1:5" x14ac:dyDescent="0.3">
      <c r="A46" s="2">
        <v>5.0999999999999996</v>
      </c>
      <c r="B46" s="2">
        <v>3.8</v>
      </c>
      <c r="C46" s="2">
        <v>1.9</v>
      </c>
      <c r="D46" s="2">
        <v>0.4</v>
      </c>
      <c r="E46" s="2" t="s">
        <v>5</v>
      </c>
    </row>
    <row r="47" spans="1:5" x14ac:dyDescent="0.3">
      <c r="A47" s="2">
        <v>4.8</v>
      </c>
      <c r="B47" s="2">
        <v>3</v>
      </c>
      <c r="C47" s="2">
        <v>1.4</v>
      </c>
      <c r="D47" s="2">
        <v>0.3</v>
      </c>
      <c r="E47" s="2" t="s">
        <v>5</v>
      </c>
    </row>
    <row r="48" spans="1:5" x14ac:dyDescent="0.3">
      <c r="A48" s="2">
        <v>5.0999999999999996</v>
      </c>
      <c r="B48" s="2">
        <v>3.8</v>
      </c>
      <c r="C48" s="2">
        <v>1.6</v>
      </c>
      <c r="D48" s="2">
        <v>0.2</v>
      </c>
      <c r="E48" s="2" t="s">
        <v>5</v>
      </c>
    </row>
    <row r="49" spans="1:5" x14ac:dyDescent="0.3">
      <c r="A49" s="2">
        <v>4.5999999999999996</v>
      </c>
      <c r="B49" s="2">
        <v>3.2</v>
      </c>
      <c r="C49" s="2">
        <v>1.4</v>
      </c>
      <c r="D49" s="2">
        <v>0.2</v>
      </c>
      <c r="E49" s="2" t="s">
        <v>5</v>
      </c>
    </row>
    <row r="50" spans="1:5" x14ac:dyDescent="0.3">
      <c r="A50" s="2">
        <v>5.3</v>
      </c>
      <c r="B50" s="2">
        <v>3.7</v>
      </c>
      <c r="C50" s="2">
        <v>1.5</v>
      </c>
      <c r="D50" s="2">
        <v>0.2</v>
      </c>
      <c r="E50" s="2" t="s">
        <v>5</v>
      </c>
    </row>
    <row r="51" spans="1:5" x14ac:dyDescent="0.3">
      <c r="A51" s="2">
        <v>5</v>
      </c>
      <c r="B51" s="2">
        <v>3.3</v>
      </c>
      <c r="C51" s="2">
        <v>1.4</v>
      </c>
      <c r="D51" s="2">
        <v>0.2</v>
      </c>
      <c r="E51" s="2" t="s">
        <v>5</v>
      </c>
    </row>
    <row r="52" spans="1:5" x14ac:dyDescent="0.3">
      <c r="A52" s="3">
        <v>7</v>
      </c>
      <c r="B52" s="3">
        <v>3.2</v>
      </c>
      <c r="C52" s="3">
        <v>4.7</v>
      </c>
      <c r="D52" s="3">
        <v>1.4</v>
      </c>
      <c r="E52" s="3" t="s">
        <v>6</v>
      </c>
    </row>
    <row r="53" spans="1:5" x14ac:dyDescent="0.3">
      <c r="A53" s="3">
        <v>6.4</v>
      </c>
      <c r="B53" s="3">
        <v>3.2</v>
      </c>
      <c r="C53" s="3">
        <v>4.5</v>
      </c>
      <c r="D53" s="3">
        <v>1.5</v>
      </c>
      <c r="E53" s="3" t="s">
        <v>6</v>
      </c>
    </row>
    <row r="54" spans="1:5" x14ac:dyDescent="0.3">
      <c r="A54" s="3">
        <v>6.9</v>
      </c>
      <c r="B54" s="3">
        <v>3.1</v>
      </c>
      <c r="C54" s="3">
        <v>4.9000000000000004</v>
      </c>
      <c r="D54" s="3">
        <v>1.5</v>
      </c>
      <c r="E54" s="3" t="s">
        <v>6</v>
      </c>
    </row>
    <row r="55" spans="1:5" x14ac:dyDescent="0.3">
      <c r="A55" s="3">
        <v>5.5</v>
      </c>
      <c r="B55" s="3">
        <v>2.2999999999999998</v>
      </c>
      <c r="C55" s="3">
        <v>4</v>
      </c>
      <c r="D55" s="3">
        <v>1.3</v>
      </c>
      <c r="E55" s="3" t="s">
        <v>6</v>
      </c>
    </row>
    <row r="56" spans="1:5" x14ac:dyDescent="0.3">
      <c r="A56" s="3">
        <v>6.5</v>
      </c>
      <c r="B56" s="3">
        <v>2.8</v>
      </c>
      <c r="C56" s="3">
        <v>4.5999999999999996</v>
      </c>
      <c r="D56" s="3">
        <v>1.5</v>
      </c>
      <c r="E56" s="3" t="s">
        <v>6</v>
      </c>
    </row>
    <row r="57" spans="1:5" x14ac:dyDescent="0.3">
      <c r="A57" s="3">
        <v>5.7</v>
      </c>
      <c r="B57" s="3">
        <v>2.8</v>
      </c>
      <c r="C57" s="3">
        <v>4.5</v>
      </c>
      <c r="D57" s="3">
        <v>1.3</v>
      </c>
      <c r="E57" s="3" t="s">
        <v>6</v>
      </c>
    </row>
    <row r="58" spans="1:5" x14ac:dyDescent="0.3">
      <c r="A58" s="3">
        <v>6.3</v>
      </c>
      <c r="B58" s="3">
        <v>3.3</v>
      </c>
      <c r="C58" s="3">
        <v>4.7</v>
      </c>
      <c r="D58" s="3">
        <v>1.6</v>
      </c>
      <c r="E58" s="3" t="s">
        <v>6</v>
      </c>
    </row>
    <row r="59" spans="1:5" x14ac:dyDescent="0.3">
      <c r="A59" s="3">
        <v>4.9000000000000004</v>
      </c>
      <c r="B59" s="3">
        <v>2.4</v>
      </c>
      <c r="C59" s="3">
        <v>3.3</v>
      </c>
      <c r="D59" s="3">
        <v>1</v>
      </c>
      <c r="E59" s="3" t="s">
        <v>6</v>
      </c>
    </row>
    <row r="60" spans="1:5" x14ac:dyDescent="0.3">
      <c r="A60" s="3">
        <v>6.6</v>
      </c>
      <c r="B60" s="3">
        <v>2.9</v>
      </c>
      <c r="C60" s="3">
        <v>4.5999999999999996</v>
      </c>
      <c r="D60" s="3">
        <v>1.3</v>
      </c>
      <c r="E60" s="3" t="s">
        <v>6</v>
      </c>
    </row>
    <row r="61" spans="1:5" x14ac:dyDescent="0.3">
      <c r="A61" s="3">
        <v>5.2</v>
      </c>
      <c r="B61" s="3">
        <v>2.7</v>
      </c>
      <c r="C61" s="3">
        <v>3.9</v>
      </c>
      <c r="D61" s="3">
        <v>1.4</v>
      </c>
      <c r="E61" s="3" t="s">
        <v>6</v>
      </c>
    </row>
    <row r="62" spans="1:5" x14ac:dyDescent="0.3">
      <c r="A62" s="3">
        <v>5</v>
      </c>
      <c r="B62" s="3">
        <v>2</v>
      </c>
      <c r="C62" s="3">
        <v>3.5</v>
      </c>
      <c r="D62" s="3">
        <v>1</v>
      </c>
      <c r="E62" s="3" t="s">
        <v>6</v>
      </c>
    </row>
    <row r="63" spans="1:5" x14ac:dyDescent="0.3">
      <c r="A63" s="3">
        <v>5.9</v>
      </c>
      <c r="B63" s="3">
        <v>3</v>
      </c>
      <c r="C63" s="3">
        <v>4.2</v>
      </c>
      <c r="D63" s="3">
        <v>1.5</v>
      </c>
      <c r="E63" s="3" t="s">
        <v>6</v>
      </c>
    </row>
    <row r="64" spans="1:5" x14ac:dyDescent="0.3">
      <c r="A64" s="3">
        <v>6</v>
      </c>
      <c r="B64" s="3">
        <v>2.2000000000000002</v>
      </c>
      <c r="C64" s="3">
        <v>4</v>
      </c>
      <c r="D64" s="3">
        <v>1</v>
      </c>
      <c r="E64" s="3" t="s">
        <v>6</v>
      </c>
    </row>
    <row r="65" spans="1:5" x14ac:dyDescent="0.3">
      <c r="A65" s="3">
        <v>6.1</v>
      </c>
      <c r="B65" s="3">
        <v>2.9</v>
      </c>
      <c r="C65" s="3">
        <v>4.7</v>
      </c>
      <c r="D65" s="3">
        <v>1.4</v>
      </c>
      <c r="E65" s="3" t="s">
        <v>6</v>
      </c>
    </row>
    <row r="66" spans="1:5" x14ac:dyDescent="0.3">
      <c r="A66" s="3">
        <v>5.6</v>
      </c>
      <c r="B66" s="3">
        <v>2.9</v>
      </c>
      <c r="C66" s="3">
        <v>3.6</v>
      </c>
      <c r="D66" s="3">
        <v>1.3</v>
      </c>
      <c r="E66" s="3" t="s">
        <v>6</v>
      </c>
    </row>
    <row r="67" spans="1:5" x14ac:dyDescent="0.3">
      <c r="A67" s="3">
        <v>6.7</v>
      </c>
      <c r="B67" s="3">
        <v>3.1</v>
      </c>
      <c r="C67" s="3">
        <v>4.4000000000000004</v>
      </c>
      <c r="D67" s="3">
        <v>1.4</v>
      </c>
      <c r="E67" s="3" t="s">
        <v>6</v>
      </c>
    </row>
    <row r="68" spans="1:5" x14ac:dyDescent="0.3">
      <c r="A68" s="3">
        <v>5.6</v>
      </c>
      <c r="B68" s="3">
        <v>3</v>
      </c>
      <c r="C68" s="3">
        <v>4.5</v>
      </c>
      <c r="D68" s="3">
        <v>1.5</v>
      </c>
      <c r="E68" s="3" t="s">
        <v>6</v>
      </c>
    </row>
    <row r="69" spans="1:5" x14ac:dyDescent="0.3">
      <c r="A69" s="3">
        <v>5.8</v>
      </c>
      <c r="B69" s="3">
        <v>2.7</v>
      </c>
      <c r="C69" s="3">
        <v>4.0999999999999996</v>
      </c>
      <c r="D69" s="3">
        <v>1</v>
      </c>
      <c r="E69" s="3" t="s">
        <v>6</v>
      </c>
    </row>
    <row r="70" spans="1:5" x14ac:dyDescent="0.3">
      <c r="A70" s="3">
        <v>6.2</v>
      </c>
      <c r="B70" s="3">
        <v>2.2000000000000002</v>
      </c>
      <c r="C70" s="3">
        <v>4.5</v>
      </c>
      <c r="D70" s="3">
        <v>1.5</v>
      </c>
      <c r="E70" s="3" t="s">
        <v>6</v>
      </c>
    </row>
    <row r="71" spans="1:5" x14ac:dyDescent="0.3">
      <c r="A71" s="3">
        <v>5.6</v>
      </c>
      <c r="B71" s="3">
        <v>2.5</v>
      </c>
      <c r="C71" s="3">
        <v>3.9</v>
      </c>
      <c r="D71" s="3">
        <v>1.1000000000000001</v>
      </c>
      <c r="E71" s="3" t="s">
        <v>6</v>
      </c>
    </row>
    <row r="72" spans="1:5" x14ac:dyDescent="0.3">
      <c r="A72" s="3">
        <v>5.9</v>
      </c>
      <c r="B72" s="3">
        <v>3.2</v>
      </c>
      <c r="C72" s="3">
        <v>4.8</v>
      </c>
      <c r="D72" s="3">
        <v>1.8</v>
      </c>
      <c r="E72" s="3" t="s">
        <v>6</v>
      </c>
    </row>
    <row r="73" spans="1:5" x14ac:dyDescent="0.3">
      <c r="A73" s="3">
        <v>6.1</v>
      </c>
      <c r="B73" s="3">
        <v>2.8</v>
      </c>
      <c r="C73" s="3">
        <v>4</v>
      </c>
      <c r="D73" s="3">
        <v>1.3</v>
      </c>
      <c r="E73" s="3" t="s">
        <v>6</v>
      </c>
    </row>
    <row r="74" spans="1:5" x14ac:dyDescent="0.3">
      <c r="A74" s="3">
        <v>6.3</v>
      </c>
      <c r="B74" s="3">
        <v>2.5</v>
      </c>
      <c r="C74" s="3">
        <v>4.9000000000000004</v>
      </c>
      <c r="D74" s="3">
        <v>1.5</v>
      </c>
      <c r="E74" s="3" t="s">
        <v>6</v>
      </c>
    </row>
    <row r="75" spans="1:5" x14ac:dyDescent="0.3">
      <c r="A75" s="3">
        <v>6.1</v>
      </c>
      <c r="B75" s="3">
        <v>2.8</v>
      </c>
      <c r="C75" s="3">
        <v>4.7</v>
      </c>
      <c r="D75" s="3">
        <v>1.2</v>
      </c>
      <c r="E75" s="3" t="s">
        <v>6</v>
      </c>
    </row>
    <row r="76" spans="1:5" x14ac:dyDescent="0.3">
      <c r="A76" s="3">
        <v>6.4</v>
      </c>
      <c r="B76" s="3">
        <v>2.9</v>
      </c>
      <c r="C76" s="3">
        <v>4.3</v>
      </c>
      <c r="D76" s="3">
        <v>1.3</v>
      </c>
      <c r="E76" s="3" t="s">
        <v>6</v>
      </c>
    </row>
    <row r="77" spans="1:5" x14ac:dyDescent="0.3">
      <c r="A77" s="3">
        <v>6.6</v>
      </c>
      <c r="B77" s="3">
        <v>3</v>
      </c>
      <c r="C77" s="3">
        <v>4.4000000000000004</v>
      </c>
      <c r="D77" s="3">
        <v>1.4</v>
      </c>
      <c r="E77" s="3" t="s">
        <v>6</v>
      </c>
    </row>
    <row r="78" spans="1:5" x14ac:dyDescent="0.3">
      <c r="A78" s="3">
        <v>6.8</v>
      </c>
      <c r="B78" s="3">
        <v>2.8</v>
      </c>
      <c r="C78" s="3">
        <v>4.8</v>
      </c>
      <c r="D78" s="3">
        <v>1.4</v>
      </c>
      <c r="E78" s="3" t="s">
        <v>6</v>
      </c>
    </row>
    <row r="79" spans="1:5" x14ac:dyDescent="0.3">
      <c r="A79" s="3">
        <v>6.7</v>
      </c>
      <c r="B79" s="3">
        <v>3</v>
      </c>
      <c r="C79" s="3">
        <v>5</v>
      </c>
      <c r="D79" s="3">
        <v>1.7</v>
      </c>
      <c r="E79" s="3" t="s">
        <v>6</v>
      </c>
    </row>
    <row r="80" spans="1:5" x14ac:dyDescent="0.3">
      <c r="A80" s="3">
        <v>6</v>
      </c>
      <c r="B80" s="3">
        <v>2.9</v>
      </c>
      <c r="C80" s="3">
        <v>4.5</v>
      </c>
      <c r="D80" s="3">
        <v>1.5</v>
      </c>
      <c r="E80" s="3" t="s">
        <v>6</v>
      </c>
    </row>
    <row r="81" spans="1:5" x14ac:dyDescent="0.3">
      <c r="A81" s="3">
        <v>5.7</v>
      </c>
      <c r="B81" s="3">
        <v>2.6</v>
      </c>
      <c r="C81" s="3">
        <v>3.5</v>
      </c>
      <c r="D81" s="3">
        <v>1</v>
      </c>
      <c r="E81" s="3" t="s">
        <v>6</v>
      </c>
    </row>
    <row r="82" spans="1:5" x14ac:dyDescent="0.3">
      <c r="A82" s="3">
        <v>5.5</v>
      </c>
      <c r="B82" s="3">
        <v>2.4</v>
      </c>
      <c r="C82" s="3">
        <v>3.8</v>
      </c>
      <c r="D82" s="3">
        <v>1.1000000000000001</v>
      </c>
      <c r="E82" s="3" t="s">
        <v>6</v>
      </c>
    </row>
    <row r="83" spans="1:5" x14ac:dyDescent="0.3">
      <c r="A83" s="3">
        <v>5.5</v>
      </c>
      <c r="B83" s="3">
        <v>2.4</v>
      </c>
      <c r="C83" s="3">
        <v>3.7</v>
      </c>
      <c r="D83" s="3">
        <v>1</v>
      </c>
      <c r="E83" s="3" t="s">
        <v>6</v>
      </c>
    </row>
    <row r="84" spans="1:5" x14ac:dyDescent="0.3">
      <c r="A84" s="3">
        <v>5.8</v>
      </c>
      <c r="B84" s="3">
        <v>2.7</v>
      </c>
      <c r="C84" s="3">
        <v>3.9</v>
      </c>
      <c r="D84" s="3">
        <v>1.2</v>
      </c>
      <c r="E84" s="3" t="s">
        <v>6</v>
      </c>
    </row>
    <row r="85" spans="1:5" x14ac:dyDescent="0.3">
      <c r="A85" s="3">
        <v>6</v>
      </c>
      <c r="B85" s="3">
        <v>2.7</v>
      </c>
      <c r="C85" s="3">
        <v>5.0999999999999996</v>
      </c>
      <c r="D85" s="3">
        <v>1.6</v>
      </c>
      <c r="E85" s="3" t="s">
        <v>6</v>
      </c>
    </row>
    <row r="86" spans="1:5" x14ac:dyDescent="0.3">
      <c r="A86" s="3">
        <v>5.4</v>
      </c>
      <c r="B86" s="3">
        <v>3</v>
      </c>
      <c r="C86" s="3">
        <v>4.5</v>
      </c>
      <c r="D86" s="3">
        <v>1.5</v>
      </c>
      <c r="E86" s="3" t="s">
        <v>6</v>
      </c>
    </row>
    <row r="87" spans="1:5" x14ac:dyDescent="0.3">
      <c r="A87" s="3">
        <v>6</v>
      </c>
      <c r="B87" s="3">
        <v>3.4</v>
      </c>
      <c r="C87" s="3">
        <v>4.5</v>
      </c>
      <c r="D87" s="3">
        <v>1.6</v>
      </c>
      <c r="E87" s="3" t="s">
        <v>6</v>
      </c>
    </row>
    <row r="88" spans="1:5" x14ac:dyDescent="0.3">
      <c r="A88" s="3">
        <v>6.7</v>
      </c>
      <c r="B88" s="3">
        <v>3.1</v>
      </c>
      <c r="C88" s="3">
        <v>4.7</v>
      </c>
      <c r="D88" s="3">
        <v>1.5</v>
      </c>
      <c r="E88" s="3" t="s">
        <v>6</v>
      </c>
    </row>
    <row r="89" spans="1:5" x14ac:dyDescent="0.3">
      <c r="A89" s="3">
        <v>6.3</v>
      </c>
      <c r="B89" s="3">
        <v>2.2999999999999998</v>
      </c>
      <c r="C89" s="3">
        <v>4.4000000000000004</v>
      </c>
      <c r="D89" s="3">
        <v>1.3</v>
      </c>
      <c r="E89" s="3" t="s">
        <v>6</v>
      </c>
    </row>
    <row r="90" spans="1:5" x14ac:dyDescent="0.3">
      <c r="A90" s="3">
        <v>5.6</v>
      </c>
      <c r="B90" s="3">
        <v>3</v>
      </c>
      <c r="C90" s="3">
        <v>4.0999999999999996</v>
      </c>
      <c r="D90" s="3">
        <v>1.3</v>
      </c>
      <c r="E90" s="3" t="s">
        <v>6</v>
      </c>
    </row>
    <row r="91" spans="1:5" x14ac:dyDescent="0.3">
      <c r="A91" s="3">
        <v>5.5</v>
      </c>
      <c r="B91" s="3">
        <v>2.5</v>
      </c>
      <c r="C91" s="3">
        <v>4</v>
      </c>
      <c r="D91" s="3">
        <v>1.3</v>
      </c>
      <c r="E91" s="3" t="s">
        <v>6</v>
      </c>
    </row>
    <row r="92" spans="1:5" x14ac:dyDescent="0.3">
      <c r="A92" s="3">
        <v>5.5</v>
      </c>
      <c r="B92" s="3">
        <v>2.6</v>
      </c>
      <c r="C92" s="3">
        <v>4.4000000000000004</v>
      </c>
      <c r="D92" s="3">
        <v>1.2</v>
      </c>
      <c r="E92" s="3" t="s">
        <v>6</v>
      </c>
    </row>
    <row r="93" spans="1:5" x14ac:dyDescent="0.3">
      <c r="A93" s="3">
        <v>6.1</v>
      </c>
      <c r="B93" s="3">
        <v>3</v>
      </c>
      <c r="C93" s="3">
        <v>4.5999999999999996</v>
      </c>
      <c r="D93" s="3">
        <v>1.4</v>
      </c>
      <c r="E93" s="3" t="s">
        <v>6</v>
      </c>
    </row>
    <row r="94" spans="1:5" x14ac:dyDescent="0.3">
      <c r="A94" s="3">
        <v>5.8</v>
      </c>
      <c r="B94" s="3">
        <v>2.6</v>
      </c>
      <c r="C94" s="3">
        <v>4</v>
      </c>
      <c r="D94" s="3">
        <v>1.2</v>
      </c>
      <c r="E94" s="3" t="s">
        <v>6</v>
      </c>
    </row>
    <row r="95" spans="1:5" x14ac:dyDescent="0.3">
      <c r="A95" s="3">
        <v>5</v>
      </c>
      <c r="B95" s="3">
        <v>2.2999999999999998</v>
      </c>
      <c r="C95" s="3">
        <v>3.3</v>
      </c>
      <c r="D95" s="3">
        <v>1</v>
      </c>
      <c r="E95" s="3" t="s">
        <v>6</v>
      </c>
    </row>
    <row r="96" spans="1:5" x14ac:dyDescent="0.3">
      <c r="A96" s="3">
        <v>5.6</v>
      </c>
      <c r="B96" s="3">
        <v>2.7</v>
      </c>
      <c r="C96" s="3">
        <v>4.2</v>
      </c>
      <c r="D96" s="3">
        <v>1.3</v>
      </c>
      <c r="E96" s="3" t="s">
        <v>6</v>
      </c>
    </row>
    <row r="97" spans="1:5" x14ac:dyDescent="0.3">
      <c r="A97" s="3">
        <v>5.7</v>
      </c>
      <c r="B97" s="3">
        <v>3</v>
      </c>
      <c r="C97" s="3">
        <v>4.2</v>
      </c>
      <c r="D97" s="3">
        <v>1.2</v>
      </c>
      <c r="E97" s="3" t="s">
        <v>6</v>
      </c>
    </row>
    <row r="98" spans="1:5" x14ac:dyDescent="0.3">
      <c r="A98" s="3">
        <v>5.7</v>
      </c>
      <c r="B98" s="3">
        <v>2.9</v>
      </c>
      <c r="C98" s="3">
        <v>4.2</v>
      </c>
      <c r="D98" s="3">
        <v>1.3</v>
      </c>
      <c r="E98" s="3" t="s">
        <v>6</v>
      </c>
    </row>
    <row r="99" spans="1:5" x14ac:dyDescent="0.3">
      <c r="A99" s="3">
        <v>6.2</v>
      </c>
      <c r="B99" s="3">
        <v>2.9</v>
      </c>
      <c r="C99" s="3">
        <v>4.3</v>
      </c>
      <c r="D99" s="3">
        <v>1.3</v>
      </c>
      <c r="E99" s="3" t="s">
        <v>6</v>
      </c>
    </row>
    <row r="100" spans="1:5" x14ac:dyDescent="0.3">
      <c r="A100" s="3">
        <v>5.0999999999999996</v>
      </c>
      <c r="B100" s="3">
        <v>2.5</v>
      </c>
      <c r="C100" s="3">
        <v>3</v>
      </c>
      <c r="D100" s="3">
        <v>1.1000000000000001</v>
      </c>
      <c r="E100" s="3" t="s">
        <v>6</v>
      </c>
    </row>
    <row r="101" spans="1:5" x14ac:dyDescent="0.3">
      <c r="A101" s="3">
        <v>5.7</v>
      </c>
      <c r="B101" s="3">
        <v>2.8</v>
      </c>
      <c r="C101" s="3">
        <v>4.0999999999999996</v>
      </c>
      <c r="D101" s="3">
        <v>1.3</v>
      </c>
      <c r="E101" s="3" t="s">
        <v>6</v>
      </c>
    </row>
    <row r="102" spans="1:5" x14ac:dyDescent="0.3">
      <c r="A102" s="4">
        <v>6.3</v>
      </c>
      <c r="B102" s="4">
        <v>3.3</v>
      </c>
      <c r="C102" s="4">
        <v>6</v>
      </c>
      <c r="D102" s="4">
        <v>2.5</v>
      </c>
      <c r="E102" s="4" t="s">
        <v>7</v>
      </c>
    </row>
    <row r="103" spans="1:5" x14ac:dyDescent="0.3">
      <c r="A103" s="4">
        <v>5.8</v>
      </c>
      <c r="B103" s="4">
        <v>2.7</v>
      </c>
      <c r="C103" s="4">
        <v>5.0999999999999996</v>
      </c>
      <c r="D103" s="4">
        <v>1.9</v>
      </c>
      <c r="E103" s="4" t="s">
        <v>7</v>
      </c>
    </row>
    <row r="104" spans="1:5" x14ac:dyDescent="0.3">
      <c r="A104" s="4">
        <v>7.1</v>
      </c>
      <c r="B104" s="4">
        <v>3</v>
      </c>
      <c r="C104" s="4">
        <v>5.9</v>
      </c>
      <c r="D104" s="4">
        <v>2.1</v>
      </c>
      <c r="E104" s="4" t="s">
        <v>7</v>
      </c>
    </row>
    <row r="105" spans="1:5" x14ac:dyDescent="0.3">
      <c r="A105" s="4">
        <v>6.3</v>
      </c>
      <c r="B105" s="4">
        <v>2.9</v>
      </c>
      <c r="C105" s="4">
        <v>5.6</v>
      </c>
      <c r="D105" s="4">
        <v>1.8</v>
      </c>
      <c r="E105" s="4" t="s">
        <v>7</v>
      </c>
    </row>
    <row r="106" spans="1:5" x14ac:dyDescent="0.3">
      <c r="A106" s="4">
        <v>6.5</v>
      </c>
      <c r="B106" s="4">
        <v>3</v>
      </c>
      <c r="C106" s="4">
        <v>5.8</v>
      </c>
      <c r="D106" s="4">
        <v>2.2000000000000002</v>
      </c>
      <c r="E106" s="4" t="s">
        <v>7</v>
      </c>
    </row>
    <row r="107" spans="1:5" x14ac:dyDescent="0.3">
      <c r="A107" s="4">
        <v>7.6</v>
      </c>
      <c r="B107" s="4">
        <v>3</v>
      </c>
      <c r="C107" s="4">
        <v>6.6</v>
      </c>
      <c r="D107" s="4">
        <v>2.1</v>
      </c>
      <c r="E107" s="4" t="s">
        <v>7</v>
      </c>
    </row>
    <row r="108" spans="1:5" x14ac:dyDescent="0.3">
      <c r="A108" s="4">
        <v>4.9000000000000004</v>
      </c>
      <c r="B108" s="4">
        <v>2.5</v>
      </c>
      <c r="C108" s="4">
        <v>4.5</v>
      </c>
      <c r="D108" s="4">
        <v>1.7</v>
      </c>
      <c r="E108" s="4" t="s">
        <v>7</v>
      </c>
    </row>
    <row r="109" spans="1:5" x14ac:dyDescent="0.3">
      <c r="A109" s="4">
        <v>7.3</v>
      </c>
      <c r="B109" s="4">
        <v>2.9</v>
      </c>
      <c r="C109" s="4">
        <v>6.3</v>
      </c>
      <c r="D109" s="4">
        <v>1.8</v>
      </c>
      <c r="E109" s="4" t="s">
        <v>7</v>
      </c>
    </row>
    <row r="110" spans="1:5" x14ac:dyDescent="0.3">
      <c r="A110" s="4">
        <v>6.7</v>
      </c>
      <c r="B110" s="4">
        <v>2.5</v>
      </c>
      <c r="C110" s="4">
        <v>5.8</v>
      </c>
      <c r="D110" s="4">
        <v>1.8</v>
      </c>
      <c r="E110" s="4" t="s">
        <v>7</v>
      </c>
    </row>
    <row r="111" spans="1:5" x14ac:dyDescent="0.3">
      <c r="A111" s="4">
        <v>7.2</v>
      </c>
      <c r="B111" s="4">
        <v>3.6</v>
      </c>
      <c r="C111" s="4">
        <v>6.1</v>
      </c>
      <c r="D111" s="4">
        <v>2.5</v>
      </c>
      <c r="E111" s="4" t="s">
        <v>7</v>
      </c>
    </row>
    <row r="112" spans="1:5" x14ac:dyDescent="0.3">
      <c r="A112" s="4">
        <v>6.5</v>
      </c>
      <c r="B112" s="4">
        <v>3.2</v>
      </c>
      <c r="C112" s="4">
        <v>5.0999999999999996</v>
      </c>
      <c r="D112" s="4">
        <v>2</v>
      </c>
      <c r="E112" s="4" t="s">
        <v>7</v>
      </c>
    </row>
    <row r="113" spans="1:5" x14ac:dyDescent="0.3">
      <c r="A113" s="4">
        <v>6.4</v>
      </c>
      <c r="B113" s="4">
        <v>2.7</v>
      </c>
      <c r="C113" s="4">
        <v>5.3</v>
      </c>
      <c r="D113" s="4">
        <v>1.9</v>
      </c>
      <c r="E113" s="4" t="s">
        <v>7</v>
      </c>
    </row>
    <row r="114" spans="1:5" x14ac:dyDescent="0.3">
      <c r="A114" s="4">
        <v>6.8</v>
      </c>
      <c r="B114" s="4">
        <v>3</v>
      </c>
      <c r="C114" s="4">
        <v>5.5</v>
      </c>
      <c r="D114" s="4">
        <v>2.1</v>
      </c>
      <c r="E114" s="4" t="s">
        <v>7</v>
      </c>
    </row>
    <row r="115" spans="1:5" x14ac:dyDescent="0.3">
      <c r="A115" s="4">
        <v>5.7</v>
      </c>
      <c r="B115" s="4">
        <v>2.5</v>
      </c>
      <c r="C115" s="4">
        <v>5</v>
      </c>
      <c r="D115" s="4">
        <v>2</v>
      </c>
      <c r="E115" s="4" t="s">
        <v>7</v>
      </c>
    </row>
    <row r="116" spans="1:5" x14ac:dyDescent="0.3">
      <c r="A116" s="4">
        <v>5.8</v>
      </c>
      <c r="B116" s="4">
        <v>2.8</v>
      </c>
      <c r="C116" s="4">
        <v>5.0999999999999996</v>
      </c>
      <c r="D116" s="4">
        <v>2.4</v>
      </c>
      <c r="E116" s="4" t="s">
        <v>7</v>
      </c>
    </row>
    <row r="117" spans="1:5" x14ac:dyDescent="0.3">
      <c r="A117" s="4">
        <v>6.4</v>
      </c>
      <c r="B117" s="4">
        <v>3.2</v>
      </c>
      <c r="C117" s="4">
        <v>5.3</v>
      </c>
      <c r="D117" s="4">
        <v>2.2999999999999998</v>
      </c>
      <c r="E117" s="4" t="s">
        <v>7</v>
      </c>
    </row>
    <row r="118" spans="1:5" x14ac:dyDescent="0.3">
      <c r="A118" s="4">
        <v>6.5</v>
      </c>
      <c r="B118" s="4">
        <v>3</v>
      </c>
      <c r="C118" s="4">
        <v>5.5</v>
      </c>
      <c r="D118" s="4">
        <v>1.8</v>
      </c>
      <c r="E118" s="4" t="s">
        <v>7</v>
      </c>
    </row>
    <row r="119" spans="1:5" x14ac:dyDescent="0.3">
      <c r="A119" s="4">
        <v>7.7</v>
      </c>
      <c r="B119" s="4">
        <v>3.8</v>
      </c>
      <c r="C119" s="4">
        <v>6.7</v>
      </c>
      <c r="D119" s="4">
        <v>2.2000000000000002</v>
      </c>
      <c r="E119" s="4" t="s">
        <v>7</v>
      </c>
    </row>
    <row r="120" spans="1:5" x14ac:dyDescent="0.3">
      <c r="A120" s="4">
        <v>7.7</v>
      </c>
      <c r="B120" s="4">
        <v>2.6</v>
      </c>
      <c r="C120" s="4">
        <v>6.9</v>
      </c>
      <c r="D120" s="4">
        <v>2.2999999999999998</v>
      </c>
      <c r="E120" s="4" t="s">
        <v>7</v>
      </c>
    </row>
    <row r="121" spans="1:5" x14ac:dyDescent="0.3">
      <c r="A121" s="4">
        <v>6</v>
      </c>
      <c r="B121" s="4">
        <v>2.2000000000000002</v>
      </c>
      <c r="C121" s="4">
        <v>5</v>
      </c>
      <c r="D121" s="4">
        <v>1.5</v>
      </c>
      <c r="E121" s="4" t="s">
        <v>7</v>
      </c>
    </row>
    <row r="122" spans="1:5" x14ac:dyDescent="0.3">
      <c r="A122" s="4">
        <v>6.9</v>
      </c>
      <c r="B122" s="4">
        <v>3.2</v>
      </c>
      <c r="C122" s="4">
        <v>5.7</v>
      </c>
      <c r="D122" s="4">
        <v>2.2999999999999998</v>
      </c>
      <c r="E122" s="4" t="s">
        <v>7</v>
      </c>
    </row>
    <row r="123" spans="1:5" x14ac:dyDescent="0.3">
      <c r="A123" s="4">
        <v>5.6</v>
      </c>
      <c r="B123" s="4">
        <v>2.8</v>
      </c>
      <c r="C123" s="4">
        <v>4.9000000000000004</v>
      </c>
      <c r="D123" s="4">
        <v>2</v>
      </c>
      <c r="E123" s="4" t="s">
        <v>7</v>
      </c>
    </row>
    <row r="124" spans="1:5" x14ac:dyDescent="0.3">
      <c r="A124" s="4">
        <v>7.7</v>
      </c>
      <c r="B124" s="4">
        <v>2.8</v>
      </c>
      <c r="C124" s="4">
        <v>6.7</v>
      </c>
      <c r="D124" s="4">
        <v>2</v>
      </c>
      <c r="E124" s="4" t="s">
        <v>7</v>
      </c>
    </row>
    <row r="125" spans="1:5" x14ac:dyDescent="0.3">
      <c r="A125" s="4">
        <v>6.3</v>
      </c>
      <c r="B125" s="4">
        <v>2.7</v>
      </c>
      <c r="C125" s="4">
        <v>4.9000000000000004</v>
      </c>
      <c r="D125" s="4">
        <v>1.8</v>
      </c>
      <c r="E125" s="4" t="s">
        <v>7</v>
      </c>
    </row>
    <row r="126" spans="1:5" x14ac:dyDescent="0.3">
      <c r="A126" s="4">
        <v>6.7</v>
      </c>
      <c r="B126" s="4">
        <v>3.3</v>
      </c>
      <c r="C126" s="4">
        <v>5.7</v>
      </c>
      <c r="D126" s="4">
        <v>2.1</v>
      </c>
      <c r="E126" s="4" t="s">
        <v>7</v>
      </c>
    </row>
    <row r="127" spans="1:5" x14ac:dyDescent="0.3">
      <c r="A127" s="4">
        <v>7.2</v>
      </c>
      <c r="B127" s="4">
        <v>3.2</v>
      </c>
      <c r="C127" s="4">
        <v>6</v>
      </c>
      <c r="D127" s="4">
        <v>1.8</v>
      </c>
      <c r="E127" s="4" t="s">
        <v>7</v>
      </c>
    </row>
    <row r="128" spans="1:5" x14ac:dyDescent="0.3">
      <c r="A128" s="4">
        <v>6.2</v>
      </c>
      <c r="B128" s="4">
        <v>2.8</v>
      </c>
      <c r="C128" s="4">
        <v>4.8</v>
      </c>
      <c r="D128" s="4">
        <v>1.8</v>
      </c>
      <c r="E128" s="4" t="s">
        <v>7</v>
      </c>
    </row>
    <row r="129" spans="1:5" x14ac:dyDescent="0.3">
      <c r="A129" s="4">
        <v>6.1</v>
      </c>
      <c r="B129" s="4">
        <v>3</v>
      </c>
      <c r="C129" s="4">
        <v>4.9000000000000004</v>
      </c>
      <c r="D129" s="4">
        <v>1.8</v>
      </c>
      <c r="E129" s="4" t="s">
        <v>7</v>
      </c>
    </row>
    <row r="130" spans="1:5" x14ac:dyDescent="0.3">
      <c r="A130" s="4">
        <v>6.4</v>
      </c>
      <c r="B130" s="4">
        <v>2.8</v>
      </c>
      <c r="C130" s="4">
        <v>5.6</v>
      </c>
      <c r="D130" s="4">
        <v>2.1</v>
      </c>
      <c r="E130" s="4" t="s">
        <v>7</v>
      </c>
    </row>
    <row r="131" spans="1:5" x14ac:dyDescent="0.3">
      <c r="A131" s="4">
        <v>7.2</v>
      </c>
      <c r="B131" s="4">
        <v>3</v>
      </c>
      <c r="C131" s="4">
        <v>5.8</v>
      </c>
      <c r="D131" s="4">
        <v>1.6</v>
      </c>
      <c r="E131" s="4" t="s">
        <v>7</v>
      </c>
    </row>
    <row r="132" spans="1:5" x14ac:dyDescent="0.3">
      <c r="A132" s="4">
        <v>7.4</v>
      </c>
      <c r="B132" s="4">
        <v>2.8</v>
      </c>
      <c r="C132" s="4">
        <v>6.1</v>
      </c>
      <c r="D132" s="4">
        <v>1.9</v>
      </c>
      <c r="E132" s="4" t="s">
        <v>7</v>
      </c>
    </row>
    <row r="133" spans="1:5" x14ac:dyDescent="0.3">
      <c r="A133" s="4">
        <v>7.9</v>
      </c>
      <c r="B133" s="4">
        <v>3.8</v>
      </c>
      <c r="C133" s="4">
        <v>6.4</v>
      </c>
      <c r="D133" s="4">
        <v>2</v>
      </c>
      <c r="E133" s="4" t="s">
        <v>7</v>
      </c>
    </row>
    <row r="134" spans="1:5" x14ac:dyDescent="0.3">
      <c r="A134" s="4">
        <v>6.4</v>
      </c>
      <c r="B134" s="4">
        <v>2.8</v>
      </c>
      <c r="C134" s="4">
        <v>5.6</v>
      </c>
      <c r="D134" s="4">
        <v>2.2000000000000002</v>
      </c>
      <c r="E134" s="4" t="s">
        <v>7</v>
      </c>
    </row>
    <row r="135" spans="1:5" x14ac:dyDescent="0.3">
      <c r="A135" s="4">
        <v>6.3</v>
      </c>
      <c r="B135" s="4">
        <v>2.8</v>
      </c>
      <c r="C135" s="4">
        <v>5.0999999999999996</v>
      </c>
      <c r="D135" s="4">
        <v>1.5</v>
      </c>
      <c r="E135" s="4" t="s">
        <v>7</v>
      </c>
    </row>
    <row r="136" spans="1:5" x14ac:dyDescent="0.3">
      <c r="A136" s="4">
        <v>6.1</v>
      </c>
      <c r="B136" s="4">
        <v>2.6</v>
      </c>
      <c r="C136" s="4">
        <v>5.6</v>
      </c>
      <c r="D136" s="4">
        <v>1.4</v>
      </c>
      <c r="E136" s="4" t="s">
        <v>7</v>
      </c>
    </row>
    <row r="137" spans="1:5" x14ac:dyDescent="0.3">
      <c r="A137" s="4">
        <v>7.7</v>
      </c>
      <c r="B137" s="4">
        <v>3</v>
      </c>
      <c r="C137" s="4">
        <v>6.1</v>
      </c>
      <c r="D137" s="4">
        <v>2.2999999999999998</v>
      </c>
      <c r="E137" s="4" t="s">
        <v>7</v>
      </c>
    </row>
    <row r="138" spans="1:5" x14ac:dyDescent="0.3">
      <c r="A138" s="4">
        <v>6.3</v>
      </c>
      <c r="B138" s="4">
        <v>3.4</v>
      </c>
      <c r="C138" s="4">
        <v>5.6</v>
      </c>
      <c r="D138" s="4">
        <v>2.4</v>
      </c>
      <c r="E138" s="4" t="s">
        <v>7</v>
      </c>
    </row>
    <row r="139" spans="1:5" x14ac:dyDescent="0.3">
      <c r="A139" s="4">
        <v>6.4</v>
      </c>
      <c r="B139" s="4">
        <v>3.1</v>
      </c>
      <c r="C139" s="4">
        <v>5.5</v>
      </c>
      <c r="D139" s="4">
        <v>1.8</v>
      </c>
      <c r="E139" s="4" t="s">
        <v>7</v>
      </c>
    </row>
    <row r="140" spans="1:5" x14ac:dyDescent="0.3">
      <c r="A140" s="4">
        <v>6</v>
      </c>
      <c r="B140" s="4">
        <v>3</v>
      </c>
      <c r="C140" s="4">
        <v>4.8</v>
      </c>
      <c r="D140" s="4">
        <v>1.8</v>
      </c>
      <c r="E140" s="4" t="s">
        <v>7</v>
      </c>
    </row>
    <row r="141" spans="1:5" x14ac:dyDescent="0.3">
      <c r="A141" s="4">
        <v>6.9</v>
      </c>
      <c r="B141" s="4">
        <v>3.1</v>
      </c>
      <c r="C141" s="4">
        <v>5.4</v>
      </c>
      <c r="D141" s="4">
        <v>2.1</v>
      </c>
      <c r="E141" s="4" t="s">
        <v>7</v>
      </c>
    </row>
    <row r="142" spans="1:5" x14ac:dyDescent="0.3">
      <c r="A142" s="4">
        <v>6.7</v>
      </c>
      <c r="B142" s="4">
        <v>3.1</v>
      </c>
      <c r="C142" s="4">
        <v>5.6</v>
      </c>
      <c r="D142" s="4">
        <v>2.4</v>
      </c>
      <c r="E142" s="4" t="s">
        <v>7</v>
      </c>
    </row>
    <row r="143" spans="1:5" x14ac:dyDescent="0.3">
      <c r="A143" s="4">
        <v>6.9</v>
      </c>
      <c r="B143" s="4">
        <v>3.1</v>
      </c>
      <c r="C143" s="4">
        <v>5.0999999999999996</v>
      </c>
      <c r="D143" s="4">
        <v>2.2999999999999998</v>
      </c>
      <c r="E143" s="4" t="s">
        <v>7</v>
      </c>
    </row>
    <row r="144" spans="1:5" x14ac:dyDescent="0.3">
      <c r="A144" s="4">
        <v>5.8</v>
      </c>
      <c r="B144" s="4">
        <v>2.7</v>
      </c>
      <c r="C144" s="4">
        <v>5.0999999999999996</v>
      </c>
      <c r="D144" s="4">
        <v>1.9</v>
      </c>
      <c r="E144" s="4" t="s">
        <v>7</v>
      </c>
    </row>
    <row r="145" spans="1:5" x14ac:dyDescent="0.3">
      <c r="A145" s="4">
        <v>6.8</v>
      </c>
      <c r="B145" s="4">
        <v>3.2</v>
      </c>
      <c r="C145" s="4">
        <v>5.9</v>
      </c>
      <c r="D145" s="4">
        <v>2.2999999999999998</v>
      </c>
      <c r="E145" s="4" t="s">
        <v>7</v>
      </c>
    </row>
    <row r="146" spans="1:5" x14ac:dyDescent="0.3">
      <c r="A146" s="4">
        <v>6.7</v>
      </c>
      <c r="B146" s="4">
        <v>3.3</v>
      </c>
      <c r="C146" s="4">
        <v>5.7</v>
      </c>
      <c r="D146" s="4">
        <v>2.5</v>
      </c>
      <c r="E146" s="4" t="s">
        <v>7</v>
      </c>
    </row>
    <row r="147" spans="1:5" x14ac:dyDescent="0.3">
      <c r="A147" s="4">
        <v>6.7</v>
      </c>
      <c r="B147" s="4">
        <v>3</v>
      </c>
      <c r="C147" s="4">
        <v>5.2</v>
      </c>
      <c r="D147" s="4">
        <v>2.2999999999999998</v>
      </c>
      <c r="E147" s="4" t="s">
        <v>7</v>
      </c>
    </row>
    <row r="148" spans="1:5" x14ac:dyDescent="0.3">
      <c r="A148" s="4">
        <v>6.3</v>
      </c>
      <c r="B148" s="4">
        <v>2.5</v>
      </c>
      <c r="C148" s="4">
        <v>5</v>
      </c>
      <c r="D148" s="4">
        <v>1.9</v>
      </c>
      <c r="E148" s="4" t="s">
        <v>7</v>
      </c>
    </row>
    <row r="149" spans="1:5" x14ac:dyDescent="0.3">
      <c r="A149" s="4">
        <v>6.5</v>
      </c>
      <c r="B149" s="4">
        <v>3</v>
      </c>
      <c r="C149" s="4">
        <v>5.2</v>
      </c>
      <c r="D149" s="4">
        <v>2</v>
      </c>
      <c r="E149" s="4" t="s">
        <v>7</v>
      </c>
    </row>
    <row r="150" spans="1:5" x14ac:dyDescent="0.3">
      <c r="A150" s="4">
        <v>6.2</v>
      </c>
      <c r="B150" s="4">
        <v>3.4</v>
      </c>
      <c r="C150" s="4">
        <v>5.4</v>
      </c>
      <c r="D150" s="4">
        <v>2.2999999999999998</v>
      </c>
      <c r="E150" s="4" t="s">
        <v>7</v>
      </c>
    </row>
    <row r="151" spans="1:5" x14ac:dyDescent="0.3">
      <c r="A151" s="4">
        <v>5.9</v>
      </c>
      <c r="B151" s="4">
        <v>3</v>
      </c>
      <c r="C151" s="4">
        <v>5.0999999999999996</v>
      </c>
      <c r="D151" s="4">
        <v>1.8</v>
      </c>
      <c r="E15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9911-BE9F-47C1-A718-D456AFDE71E6}">
  <dimension ref="A1:E5"/>
  <sheetViews>
    <sheetView tabSelected="1" workbookViewId="0"/>
  </sheetViews>
  <sheetFormatPr defaultRowHeight="14.4" x14ac:dyDescent="0.3"/>
  <cols>
    <col min="1" max="1" width="14.21875" customWidth="1"/>
  </cols>
  <sheetData>
    <row r="1" spans="1:5" x14ac:dyDescent="0.3">
      <c r="A1" s="6" t="s">
        <v>30</v>
      </c>
      <c r="B1" t="s">
        <v>13</v>
      </c>
      <c r="C1" s="5" t="s">
        <v>14</v>
      </c>
      <c r="D1" s="5" t="s">
        <v>15</v>
      </c>
      <c r="E1" s="5" t="s">
        <v>16</v>
      </c>
    </row>
    <row r="2" spans="1:5" ht="41.4" x14ac:dyDescent="0.3">
      <c r="A2" s="6" t="s">
        <v>8</v>
      </c>
      <c r="B2">
        <f>MIN(FLOWER_DATA!A8:A157)</f>
        <v>4.3</v>
      </c>
      <c r="C2">
        <f>MAX(FLOWER_DATA!A2:A151)</f>
        <v>7.9</v>
      </c>
      <c r="D2" s="7">
        <f>AVERAGE(FLOWER_DATA!A2:A151)</f>
        <v>5.8433333333333346</v>
      </c>
      <c r="E2" s="7">
        <f>STDEV(FLOWER_DATA!A2:A151)</f>
        <v>0.82806612797784351</v>
      </c>
    </row>
    <row r="3" spans="1:5" ht="27.6" x14ac:dyDescent="0.3">
      <c r="A3" s="6" t="s">
        <v>9</v>
      </c>
      <c r="B3">
        <f>MIN(FLOWER_DATA!B2:B151)</f>
        <v>2</v>
      </c>
      <c r="C3">
        <f>MAX(FLOWER_DATA!B2:B151)</f>
        <v>4.4000000000000004</v>
      </c>
      <c r="D3" s="7">
        <f>AVERAGE(FLOWER_DATA!B2:B151)</f>
        <v>3.0573333333333341</v>
      </c>
      <c r="E3" s="7">
        <f>STDEV(FLOWER_DATA!B2:B151)</f>
        <v>0.43586628493668389</v>
      </c>
    </row>
    <row r="4" spans="1:5" ht="41.4" x14ac:dyDescent="0.3">
      <c r="A4" s="6" t="s">
        <v>10</v>
      </c>
      <c r="B4">
        <f>MIN(FLOWER_DATA!C3:C152)</f>
        <v>1</v>
      </c>
      <c r="C4">
        <f>MAX(FLOWER_DATA!C2:C151)</f>
        <v>6.9</v>
      </c>
      <c r="D4" s="7">
        <f>AVERAGE(FLOWER_DATA!C2:C151)</f>
        <v>3.7580000000000027</v>
      </c>
      <c r="E4" s="7">
        <f>STDEV(FLOWER_DATA!C2:C151)</f>
        <v>1.7652982332594624</v>
      </c>
    </row>
    <row r="5" spans="1:5" ht="27.6" x14ac:dyDescent="0.3">
      <c r="A5" s="6" t="s">
        <v>11</v>
      </c>
      <c r="B5">
        <f>MIN(FLOWER_DATA!D4:D153)</f>
        <v>0.1</v>
      </c>
      <c r="C5">
        <f>MAX(FLOWER_DATA!D2:D151)</f>
        <v>2.5</v>
      </c>
      <c r="D5" s="7">
        <f>AVERAGE(FLOWER_DATA!D2:D151)</f>
        <v>1.199333333333334</v>
      </c>
      <c r="E5" s="7">
        <f>STDEV(FLOWER_DATA!D2:D151)</f>
        <v>0.76223766896034584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8E4C-2F20-44F3-8E00-7677334ED9B6}">
  <dimension ref="A1:D8"/>
  <sheetViews>
    <sheetView workbookViewId="0">
      <selection activeCell="D17" sqref="D17"/>
    </sheetView>
  </sheetViews>
  <sheetFormatPr defaultRowHeight="14.4" x14ac:dyDescent="0.3"/>
  <cols>
    <col min="1" max="1" width="16.44140625" customWidth="1"/>
    <col min="2" max="2" width="10.6640625" customWidth="1"/>
    <col min="3" max="3" width="54.77734375" customWidth="1"/>
    <col min="4" max="4" width="17.33203125" customWidth="1"/>
  </cols>
  <sheetData>
    <row r="1" spans="1:4" ht="16.8" x14ac:dyDescent="0.3">
      <c r="A1" s="12" t="s">
        <v>19</v>
      </c>
      <c r="B1" s="12"/>
      <c r="C1" s="12"/>
      <c r="D1" s="12"/>
    </row>
    <row r="2" spans="1:4" ht="24.6" customHeight="1" x14ac:dyDescent="0.3">
      <c r="A2" s="9" t="s">
        <v>20</v>
      </c>
      <c r="B2" s="9" t="s">
        <v>21</v>
      </c>
      <c r="C2" s="9" t="s">
        <v>22</v>
      </c>
      <c r="D2" s="9" t="s">
        <v>23</v>
      </c>
    </row>
    <row r="3" spans="1:4" ht="25.8" customHeight="1" x14ac:dyDescent="0.3">
      <c r="A3" s="10" t="s">
        <v>0</v>
      </c>
      <c r="B3" s="10" t="s">
        <v>24</v>
      </c>
      <c r="C3" s="10" t="s">
        <v>25</v>
      </c>
      <c r="D3" s="10">
        <v>3</v>
      </c>
    </row>
    <row r="4" spans="1:4" ht="28.8" customHeight="1" x14ac:dyDescent="0.3">
      <c r="A4" s="10" t="s">
        <v>1</v>
      </c>
      <c r="B4" s="10" t="s">
        <v>24</v>
      </c>
      <c r="C4" s="10" t="s">
        <v>26</v>
      </c>
      <c r="D4" s="10">
        <v>2</v>
      </c>
    </row>
    <row r="5" spans="1:4" ht="24" customHeight="1" x14ac:dyDescent="0.3">
      <c r="A5" s="11" t="s">
        <v>2</v>
      </c>
      <c r="B5" s="11" t="s">
        <v>24</v>
      </c>
      <c r="C5" s="11" t="s">
        <v>27</v>
      </c>
      <c r="D5" s="11">
        <v>5</v>
      </c>
    </row>
    <row r="6" spans="1:4" ht="20.399999999999999" customHeight="1" x14ac:dyDescent="0.3">
      <c r="A6" s="11" t="s">
        <v>3</v>
      </c>
      <c r="B6" s="11" t="s">
        <v>24</v>
      </c>
      <c r="C6" s="11" t="s">
        <v>28</v>
      </c>
      <c r="D6" s="11">
        <v>4</v>
      </c>
    </row>
    <row r="8" spans="1:4" ht="34.799999999999997" customHeight="1" x14ac:dyDescent="0.3">
      <c r="A8" s="13" t="s">
        <v>29</v>
      </c>
      <c r="B8" s="13"/>
      <c r="C8" s="13"/>
      <c r="D8" s="13"/>
    </row>
  </sheetData>
  <mergeCells count="2"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FLOWER_DATA</vt:lpstr>
      <vt:lpstr>Sheet1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singla</dc:creator>
  <cp:lastModifiedBy>dimple singla</cp:lastModifiedBy>
  <dcterms:created xsi:type="dcterms:W3CDTF">2026-05-11T10:15:41Z</dcterms:created>
  <dcterms:modified xsi:type="dcterms:W3CDTF">2026-05-11T15:12:28Z</dcterms:modified>
</cp:coreProperties>
</file>